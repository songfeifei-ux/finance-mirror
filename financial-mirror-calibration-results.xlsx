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摘要" sheetId="1" state="visible" r:id="rId1"/>
    <sheet xmlns:r="http://schemas.openxmlformats.org/officeDocument/2006/relationships" name="案例结果" sheetId="2" state="visible" r:id="rId2"/>
    <sheet xmlns:r="http://schemas.openxmlformats.org/officeDocument/2006/relationships" name="完整报告" sheetId="3" state="visible" r:id="rId3"/>
    <sheet xmlns:r="http://schemas.openxmlformats.org/officeDocument/2006/relationships" name="过程记录" sheetId="4" state="visible" r:id="rId4"/>
    <sheet xmlns:r="http://schemas.openxmlformats.org/officeDocument/2006/relationships" name="评分口径" sheetId="5" state="visible" r:id="rId5"/>
    <sheet xmlns:r="http://schemas.openxmlformats.org/officeDocument/2006/relationships" name="来源与边界" sheetId="6" state="visible" r:id="rId6"/>
  </sheets>
  <definedNames>
    <definedName name="_xlnm._FilterDatabase" localSheetId="1" hidden="1">'案例结果'!$A$3:$U$13</definedName>
    <definedName name="_xlnm._FilterDatabase" localSheetId="2" hidden="1">'完整报告'!$A$3:$D$13</definedName>
  </definedNames>
  <calcPr calcMode="auto" fullCalcOnLoad="1" forceFullCalc="1" calcId="124519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66666"/>
      <sz val="10"/>
    </font>
    <font>
      <name val="Microsoft YaHei"/>
      <b val="1"/>
      <color rgb="0017365D"/>
      <sz val="18"/>
    </font>
    <font>
      <name val="Microsoft YaHei"/>
      <b val="1"/>
      <color rgb="0017365D"/>
      <sz val="12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sz val="10"/>
    </font>
    <font>
      <name val="Microsoft YaHei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4" customWidth="1" min="4" max="4"/>
    <col width="24" customWidth="1" min="5" max="5"/>
    <col width="18" customWidth="1" min="6" max="6"/>
    <col width="4" customWidth="1" min="7" max="7"/>
    <col width="22" customWidth="1" min="8" max="8"/>
    <col width="18" customWidth="1" min="9" max="9"/>
    <col width="12" customWidth="1" min="10" max="10"/>
  </cols>
  <sheetData>
    <row r="1" ht="32" customHeight="1">
      <c r="B1" s="1" t="inlineStr">
        <is>
          <t>结论：10 个案例均已生成完整报告并通过本轮静态结构与规则复核；结果为同会话自评，不是独立盲测准确率，也不涉及模型权重训练。</t>
        </is>
      </c>
    </row>
    <row r="2" ht="34" customHeight="1">
      <c r="B2" s="2" t="inlineStr">
        <is>
          <t>金融产品照妖镜｜十案例校准摘要</t>
        </is>
      </c>
    </row>
    <row r="5">
      <c r="B5" s="3" t="inlineStr">
        <is>
          <t>案例总数</t>
        </is>
      </c>
      <c r="E5" s="3" t="inlineStr">
        <is>
          <t>完整报告数</t>
        </is>
      </c>
      <c r="H5" s="3" t="inlineStr">
        <is>
          <t>结构验收通过</t>
        </is>
      </c>
    </row>
    <row r="6">
      <c r="B6" s="4">
        <f>COUNTA('案例结果'!A4:A13)</f>
        <v/>
      </c>
      <c r="E6" s="4">
        <f>COUNTA('完整报告'!A4:A13)</f>
        <v/>
      </c>
      <c r="H6" s="4">
        <f>COUNTIF('案例结果'!R4:R13,"通过")</f>
        <v/>
      </c>
    </row>
    <row r="7">
      <c r="B7" s="3" t="inlineStr">
        <is>
          <t>规则复核通过（自评）</t>
        </is>
      </c>
      <c r="E7" s="3" t="inlineStr">
        <is>
          <t>硬性触发案例</t>
        </is>
      </c>
      <c r="H7" s="3" t="inlineStr">
        <is>
          <t>对照案例等级</t>
        </is>
      </c>
    </row>
    <row r="8">
      <c r="B8" s="4">
        <f>COUNTIF('案例结果'!S4:S13,"通过")</f>
        <v/>
      </c>
      <c r="E8" s="4">
        <f>COUNTIF('案例结果'!L4:L13,"是")</f>
        <v/>
      </c>
      <c r="H8" s="4">
        <f>'案例结果'!M13</f>
        <v/>
      </c>
    </row>
    <row r="10">
      <c r="B10" s="5" t="inlineStr">
        <is>
          <t>风险等级分布</t>
        </is>
      </c>
      <c r="E10" s="5" t="inlineStr">
        <is>
          <t>复现与解释边界</t>
        </is>
      </c>
    </row>
    <row r="11" ht="30" customHeight="1">
      <c r="B11" s="6" t="inlineStr">
        <is>
          <t>等级</t>
        </is>
      </c>
      <c r="C11" s="6" t="inlineStr">
        <is>
          <t>案例数</t>
        </is>
      </c>
      <c r="E11" s="7" t="inlineStr">
        <is>
          <t>方法：每次只使用一个案例输入，按六步工作流生成报告，输出后再对照预期触发点。</t>
        </is>
      </c>
    </row>
    <row r="12" ht="30" customHeight="1">
      <c r="B12" s="8" t="inlineStr">
        <is>
          <t>低</t>
        </is>
      </c>
      <c r="C12" s="8">
        <f>COUNTIF('案例结果'!M4:M13,B12)</f>
        <v/>
      </c>
      <c r="E12" s="7" t="inlineStr">
        <is>
          <t>记录：保留 A—E 分数、总分、硬性触发、信息完整度、证据、人工复核和完整报告。</t>
        </is>
      </c>
    </row>
    <row r="13" ht="30" customHeight="1">
      <c r="B13" s="8" t="inlineStr">
        <is>
          <t>中</t>
        </is>
      </c>
      <c r="C13" s="8">
        <f>COUNTIF('案例结果'!M4:M13,B13)</f>
        <v/>
      </c>
      <c r="E13" s="7" t="inlineStr">
        <is>
          <t>验收：八个报告模块、评分拆解与边界声明均做静态检查；预期规则由本轮输出后复核。</t>
        </is>
      </c>
    </row>
    <row r="14" ht="30" customHeight="1">
      <c r="B14" s="8" t="inlineStr">
        <is>
          <t>高</t>
        </is>
      </c>
      <c r="C14" s="8">
        <f>COUNTIF('案例结果'!M4:M13,B14)</f>
        <v/>
      </c>
      <c r="E14" s="7" t="inlineStr">
        <is>
          <t>限制：未调用外部数据库，未进行新会话重复实验，不将 10/10 通过表述为统计准确率。</t>
        </is>
      </c>
    </row>
    <row r="15">
      <c r="B15" s="8" t="inlineStr">
        <is>
          <t>极高</t>
        </is>
      </c>
      <c r="C15" s="8">
        <f>COUNTIF('案例结果'!M4:M13,B15)</f>
        <v/>
      </c>
    </row>
    <row r="18">
      <c r="B18" s="5" t="inlineStr">
        <is>
          <t>工作表导航</t>
        </is>
      </c>
    </row>
    <row r="19" ht="32" customHeight="1">
      <c r="B19" s="6" t="inlineStr">
        <is>
          <t>工作表</t>
        </is>
      </c>
      <c r="C19" s="6" t="inlineStr">
        <is>
          <t>内容</t>
        </is>
      </c>
    </row>
    <row r="20">
      <c r="B20" s="9" t="inlineStr">
        <is>
          <t>案例结果</t>
        </is>
      </c>
      <c r="C20" s="9" t="inlineStr">
        <is>
          <t>逐案评分、风险等级、证据与验收</t>
        </is>
      </c>
    </row>
    <row r="21">
      <c r="B21" s="9" t="inlineStr">
        <is>
          <t>完整报告</t>
        </is>
      </c>
      <c r="C21" s="9" t="inlineStr">
        <is>
          <t>十个案例的八模块完整输出</t>
        </is>
      </c>
    </row>
    <row r="22">
      <c r="B22" s="9" t="inlineStr">
        <is>
          <t>过程记录</t>
        </is>
      </c>
      <c r="C22" s="9" t="inlineStr">
        <is>
          <t>案例内置、生成、复核和固化步骤</t>
        </is>
      </c>
    </row>
    <row r="23">
      <c r="B23" s="9" t="inlineStr">
        <is>
          <t>评分口径</t>
        </is>
      </c>
      <c r="C23" s="9" t="inlineStr">
        <is>
          <t>附录评分锚点与硬性规则</t>
        </is>
      </c>
    </row>
    <row r="24">
      <c r="B24" s="9" t="inlineStr">
        <is>
          <t>来源与边界</t>
        </is>
      </c>
      <c r="C24" s="9" t="inlineStr">
        <is>
          <t>来源、版本、日期和研究限制</t>
        </is>
      </c>
    </row>
  </sheetData>
  <mergeCells count="6">
    <mergeCell ref="E11:J11"/>
    <mergeCell ref="E13:J13"/>
    <mergeCell ref="E14:J14"/>
    <mergeCell ref="B1:J1"/>
    <mergeCell ref="E12:J12"/>
    <mergeCell ref="B2:J2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4" customWidth="1" min="2" max="2"/>
    <col width="40" customWidth="1" min="3" max="3"/>
    <col width="13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0" customWidth="1" min="10" max="10"/>
    <col width="12" customWidth="1" min="11" max="11"/>
    <col width="12" customWidth="1" min="12" max="12"/>
    <col width="12" customWidth="1" min="13" max="13"/>
    <col width="20" customWidth="1" min="14" max="14"/>
    <col width="70" customWidth="1" min="15" max="15"/>
    <col width="60" customWidth="1" min="16" max="16"/>
    <col width="22" customWidth="1" min="17" max="17"/>
    <col width="13" customWidth="1" min="18" max="18"/>
    <col width="18" customWidth="1" min="19" max="19"/>
    <col width="14" customWidth="1" min="20" max="20"/>
    <col width="24" customWidth="1" min="21" max="21"/>
  </cols>
  <sheetData>
    <row r="1" ht="32" customHeight="1">
      <c r="B1" s="1" t="inlineStr">
        <is>
          <t>分数为教学启发式指标；总分为公式，最终等级在硬性触发时不得低于“高”。</t>
        </is>
      </c>
    </row>
    <row r="2" ht="34" customHeight="1">
      <c r="B2" s="2" t="inlineStr">
        <is>
          <t>逐案评分与验收结果</t>
        </is>
      </c>
    </row>
    <row r="3" ht="32" customHeight="1">
      <c r="A3" s="6" t="inlineStr">
        <is>
          <t>案例</t>
        </is>
      </c>
      <c r="B3" s="6" t="inlineStr">
        <is>
          <t>输入文件</t>
        </is>
      </c>
      <c r="C3" s="6" t="inlineStr">
        <is>
          <t>预期触发点</t>
        </is>
      </c>
      <c r="D3" s="6" t="inlineStr">
        <is>
          <t>信息完整度</t>
        </is>
      </c>
      <c r="E3" s="6" t="inlineStr">
        <is>
          <t>A</t>
        </is>
      </c>
      <c r="F3" s="6" t="inlineStr">
        <is>
          <t>B</t>
        </is>
      </c>
      <c r="G3" s="6" t="inlineStr">
        <is>
          <t>C</t>
        </is>
      </c>
      <c r="H3" s="6" t="inlineStr">
        <is>
          <t>D</t>
        </is>
      </c>
      <c r="I3" s="6" t="inlineStr">
        <is>
          <t>E</t>
        </is>
      </c>
      <c r="J3" s="6" t="inlineStr">
        <is>
          <t>总分</t>
        </is>
      </c>
      <c r="K3" s="6" t="inlineStr">
        <is>
          <t>基础等级</t>
        </is>
      </c>
      <c r="L3" s="6" t="inlineStr">
        <is>
          <t>硬性触发</t>
        </is>
      </c>
      <c r="M3" s="6" t="inlineStr">
        <is>
          <t>最终等级</t>
        </is>
      </c>
      <c r="N3" s="6" t="inlineStr">
        <is>
          <t>风险展示</t>
        </is>
      </c>
      <c r="O3" s="6" t="inlineStr">
        <is>
          <t>关键评分证据</t>
        </is>
      </c>
      <c r="P3" s="6" t="inlineStr">
        <is>
          <t>人工复核</t>
        </is>
      </c>
      <c r="Q3" s="6" t="inlineStr">
        <is>
          <t>失败类型</t>
        </is>
      </c>
      <c r="R3" s="6" t="inlineStr">
        <is>
          <t>结构验收</t>
        </is>
      </c>
      <c r="S3" s="6" t="inlineStr">
        <is>
          <t>规则复核（自评）</t>
        </is>
      </c>
      <c r="T3" s="6" t="inlineStr">
        <is>
          <t>运行日期</t>
        </is>
      </c>
      <c r="U3" s="6" t="inlineStr">
        <is>
          <t>Skill 版本</t>
        </is>
      </c>
    </row>
    <row r="4" ht="145" customHeight="1">
      <c r="A4" s="9" t="inlineStr">
        <is>
          <t>case_01</t>
        </is>
      </c>
      <c r="B4" s="9" t="inlineStr">
        <is>
          <t>references/test_cases/case_01.txt</t>
        </is>
      </c>
      <c r="C4" s="9" t="inlineStr">
        <is>
          <t>A/B/C/D 高风险；E 信息不全；硬性等级不低于高</t>
        </is>
      </c>
      <c r="D4" s="9" t="inlineStr">
        <is>
          <t>低</t>
        </is>
      </c>
      <c r="E4" s="10" t="n">
        <v>2</v>
      </c>
      <c r="F4" s="10" t="n">
        <v>2</v>
      </c>
      <c r="G4" s="10" t="n">
        <v>2</v>
      </c>
      <c r="H4" s="10" t="n">
        <v>2</v>
      </c>
      <c r="I4" s="10" t="n">
        <v>1</v>
      </c>
      <c r="J4" s="9">
        <f>SUM(E4:I4)</f>
        <v/>
      </c>
      <c r="K4" s="9">
        <f>IF(J4&lt;=2,"低",IF(J4&lt;=4,"中",IF(J4&lt;=7,"高","极高")))</f>
        <v/>
      </c>
      <c r="L4" s="9" t="inlineStr">
        <is>
          <t>是</t>
        </is>
      </c>
      <c r="M4" s="9">
        <f>IF(AND(L4="是",OR(K4="低",K4="中")),"高",K4)</f>
        <v/>
      </c>
      <c r="N4" s="9">
        <f>IF(D4="低","信息不足；","")&amp;M4</f>
        <v/>
      </c>
      <c r="O4" s="9" t="inlineStr">
        <is>
          <t>A 主体与背书：“国资背景、银行兜底”“转入某个人账户”；主体登记与兜底依据缺失
B 资产透明度：“未列发行人登记信息、托管机构、资金投向、费用和赎回条件”；无法穿透底层资产
C 收益风险匹配：“年化收益 18%”“保本保息、稳赚不赔”；高收益与无风险假设冲突
D 销售表达：“保本保息、稳赚不赔”；绝对化收益表达
E 流动性与条款：已披露 12 个月期限，但“费用和赎回条件”未列</t>
        </is>
      </c>
      <c r="P4" s="9" t="inlineStr">
        <is>
          <t>停止向个人账户转账；索取正式合同、发行与销售登记、托管和审计材料；通过权威渠道核验主体、收款授权与担保；保存宣传页和付款指令。</t>
        </is>
      </c>
      <c r="Q4" s="9" t="inlineStr">
        <is>
          <t>无</t>
        </is>
      </c>
      <c r="R4" s="11" t="inlineStr">
        <is>
          <t>通过</t>
        </is>
      </c>
      <c r="S4" s="11" t="inlineStr">
        <is>
          <t>通过</t>
        </is>
      </c>
      <c r="T4" s="9" t="inlineStr">
        <is>
          <t>2026-10-28</t>
        </is>
      </c>
      <c r="U4" s="9" t="inlineStr">
        <is>
          <t>v0.4.0-case-calibration</t>
        </is>
      </c>
    </row>
    <row r="5" ht="145" customHeight="1">
      <c r="A5" s="9" t="inlineStr">
        <is>
          <t>case_02</t>
        </is>
      </c>
      <c r="B5" s="9" t="inlineStr">
        <is>
          <t>references/test_cases/case_02.txt</t>
        </is>
      </c>
      <c r="C5" s="9" t="inlineStr">
        <is>
          <t>主体、资产和条款信息缺失；不得直接认定诈骗</t>
        </is>
      </c>
      <c r="D5" s="9" t="inlineStr">
        <is>
          <t>低</t>
        </is>
      </c>
      <c r="E5" s="10" t="n">
        <v>1</v>
      </c>
      <c r="F5" s="10" t="n">
        <v>1</v>
      </c>
      <c r="G5" s="10" t="n">
        <v>1</v>
      </c>
      <c r="H5" s="10" t="n">
        <v>0</v>
      </c>
      <c r="I5" s="10" t="n">
        <v>1</v>
      </c>
      <c r="J5" s="9">
        <f>SUM(E5:I5)</f>
        <v/>
      </c>
      <c r="K5" s="9">
        <f>IF(J5&lt;=2,"低",IF(J5&lt;=4,"中",IF(J5&lt;=7,"高","极高")))</f>
        <v/>
      </c>
      <c r="L5" s="9" t="inlineStr">
        <is>
          <t>否</t>
        </is>
      </c>
      <c r="M5" s="9">
        <f>IF(AND(L5="是",OR(K5="低",K5="中")),"高",K5)</f>
        <v/>
      </c>
      <c r="N5" s="9">
        <f>IF(D5="低","信息不足；","")&amp;M5</f>
        <v/>
      </c>
      <c r="O5" s="9" t="inlineStr">
        <is>
          <t>A 主体与背书：“未列发行人、管理人、托管机构”；主体信息不全
B 资产透明度：“资金用于优质项目”；只有概括投向，项目和比例不明
C 收益风险匹配：“预期年化收益 5%”；收益依据与费用披露不足
D 销售表达：仅见“专业团队管理”一般宣传，未见绝对化收益或催促
E 流动性与条款：“费用和赎回条件”未列，条款不完整</t>
        </is>
      </c>
      <c r="P5" s="9" t="inlineStr">
        <is>
          <t>索取可下载的完整合同、发行与管理主体资料、托管证明、项目清单、费用表和赎回规则；核验“优质项目”的具体标准。</t>
        </is>
      </c>
      <c r="Q5" s="9" t="inlineStr">
        <is>
          <t>无</t>
        </is>
      </c>
      <c r="R5" s="11" t="inlineStr">
        <is>
          <t>通过</t>
        </is>
      </c>
      <c r="S5" s="11" t="inlineStr">
        <is>
          <t>通过</t>
        </is>
      </c>
      <c r="T5" s="9" t="inlineStr">
        <is>
          <t>2026-10-28</t>
        </is>
      </c>
      <c r="U5" s="9" t="inlineStr">
        <is>
          <t>v0.4.0-case-calibration</t>
        </is>
      </c>
    </row>
    <row r="6" ht="145" customHeight="1">
      <c r="A6" s="9" t="inlineStr">
        <is>
          <t>case_03</t>
        </is>
      </c>
      <c r="B6" s="9" t="inlineStr">
        <is>
          <t>references/test_cases/case_03.txt</t>
        </is>
      </c>
      <c r="C6" s="9" t="inlineStr">
        <is>
          <t>稀缺性催促、隐瞒真实信息；硬性等级不低于高</t>
        </is>
      </c>
      <c r="D6" s="9" t="inlineStr">
        <is>
          <t>低</t>
        </is>
      </c>
      <c r="E6" s="10" t="n">
        <v>1</v>
      </c>
      <c r="F6" s="10" t="n">
        <v>2</v>
      </c>
      <c r="G6" s="10" t="n">
        <v>1</v>
      </c>
      <c r="H6" s="10" t="n">
        <v>2</v>
      </c>
      <c r="I6" s="10" t="n">
        <v>1</v>
      </c>
      <c r="J6" s="9">
        <f>SUM(E6:I6)</f>
        <v/>
      </c>
      <c r="K6" s="9">
        <f>IF(J6&lt;=2,"低",IF(J6&lt;=4,"中",IF(J6&lt;=7,"高","极高")))</f>
        <v/>
      </c>
      <c r="L6" s="9" t="inlineStr">
        <is>
          <t>是</t>
        </is>
      </c>
      <c r="M6" s="9">
        <f>IF(AND(L6="是",OR(K6="低",K6="中")),"高",K6)</f>
        <v/>
      </c>
      <c r="N6" s="9">
        <f>IF(D6="低","信息不足；","")&amp;M6</f>
        <v/>
      </c>
      <c r="O6" s="9" t="inlineStr">
        <is>
          <t>A 主体与背书：“材料未说明发行主体”；工作人员代持关系待核验
B 资产透明度：“材料未说明发行主体和资金投向”；无资金投向
C 收益风险匹配：全文未披露收益依据与费用，收益风险无法评估
D 销售表达：“不要向家人展示合同，免得他们看不懂耽误机会”；要求隐瞒并妨碍独立复核
E 流动性与条款：“内部额度，今天不转账永久失去机会”；未见期限、赎回和违约条款</t>
        </is>
      </c>
      <c r="P6" s="9" t="inlineStr">
        <is>
          <t>不要转账或接受代持；要求直接向家人或独立专业人士出示合同；核验发行主体、收款账户和授权；保存群聊与付款要求原文。</t>
        </is>
      </c>
      <c r="Q6" s="9" t="inlineStr">
        <is>
          <t>无</t>
        </is>
      </c>
      <c r="R6" s="11" t="inlineStr">
        <is>
          <t>通过</t>
        </is>
      </c>
      <c r="S6" s="11" t="inlineStr">
        <is>
          <t>通过</t>
        </is>
      </c>
      <c r="T6" s="9" t="inlineStr">
        <is>
          <t>2026-10-28</t>
        </is>
      </c>
      <c r="U6" s="9" t="inlineStr">
        <is>
          <t>v0.4.0-case-calibration</t>
        </is>
      </c>
    </row>
    <row r="7" ht="145" customHeight="1">
      <c r="A7" s="9" t="inlineStr">
        <is>
          <t>case_04</t>
        </is>
      </c>
      <c r="B7" s="9" t="inlineStr">
        <is>
          <t>references/test_cases/case_04.txt</t>
        </is>
      </c>
      <c r="C7" s="9" t="inlineStr">
        <is>
          <t>销售表述与赎回条款冲突；流动性和销售表达风险</t>
        </is>
      </c>
      <c r="D7" s="9" t="inlineStr">
        <is>
          <t>低</t>
        </is>
      </c>
      <c r="E7" s="10" t="n">
        <v>1</v>
      </c>
      <c r="F7" s="10" t="n">
        <v>2</v>
      </c>
      <c r="G7" s="10" t="n">
        <v>1</v>
      </c>
      <c r="H7" s="10" t="n">
        <v>2</v>
      </c>
      <c r="I7" s="10" t="n">
        <v>2</v>
      </c>
      <c r="J7" s="9">
        <f>SUM(E7:I7)</f>
        <v/>
      </c>
      <c r="K7" s="9">
        <f>IF(J7&lt;=2,"低",IF(J7&lt;=4,"中",IF(J7&lt;=7,"高","极高")))</f>
        <v/>
      </c>
      <c r="L7" s="9" t="inlineStr">
        <is>
          <t>否</t>
        </is>
      </c>
      <c r="M7" s="9">
        <f>IF(AND(L7="是",OR(K7="低",K7="中")),"高",K7)</f>
        <v/>
      </c>
      <c r="N7" s="9">
        <f>IF(D7="低","信息不足；","")&amp;M7</f>
        <v/>
      </c>
      <c r="O7" s="9" t="inlineStr">
        <is>
          <t>A 主体与背书：所给“现金宝产品广告”与合同片段未列发行或管理主体
B 资产透明度：所附材料无资金投向，无法判断底层资产
C 收益风险匹配：“与活期存款完全相同”；未披露收益依据和完整风险假设
D 销售表达：“随时可无成本取出”与延期及 1.5% 赎回费条款冲突
E 流动性与条款：“随时可无成本取出”与“可延期办理”“支付 1.5% 费用”直接冲突</t>
        </is>
      </c>
      <c r="P7" s="9" t="inlineStr">
        <is>
          <t>索取完整合同和全部费用表；核对开放日、延期、巨额赎回与短期赎回费；要求销售方书面纠正“完全相同、无成本”表述。</t>
        </is>
      </c>
      <c r="Q7" s="9" t="inlineStr">
        <is>
          <t>无</t>
        </is>
      </c>
      <c r="R7" s="11" t="inlineStr">
        <is>
          <t>通过</t>
        </is>
      </c>
      <c r="S7" s="11" t="inlineStr">
        <is>
          <t>通过</t>
        </is>
      </c>
      <c r="T7" s="9" t="inlineStr">
        <is>
          <t>2026-10-28</t>
        </is>
      </c>
      <c r="U7" s="9" t="inlineStr">
        <is>
          <t>v0.4.0-case-calibration</t>
        </is>
      </c>
    </row>
    <row r="8" ht="145" customHeight="1">
      <c r="A8" s="9" t="inlineStr">
        <is>
          <t>case_05</t>
        </is>
      </c>
      <c r="B8" s="9" t="inlineStr">
        <is>
          <t>references/test_cases/case_05.txt</t>
        </is>
      </c>
      <c r="C8" s="9" t="inlineStr">
        <is>
          <t>专业术语不得替代披露；要求大白话解释与信息缺失清单</t>
        </is>
      </c>
      <c r="D8" s="9" t="inlineStr">
        <is>
          <t>低</t>
        </is>
      </c>
      <c r="E8" s="10" t="n">
        <v>1</v>
      </c>
      <c r="F8" s="10" t="n">
        <v>1</v>
      </c>
      <c r="G8" s="10" t="n">
        <v>1</v>
      </c>
      <c r="H8" s="10" t="n">
        <v>1</v>
      </c>
      <c r="I8" s="10" t="n">
        <v>1</v>
      </c>
      <c r="J8" s="9">
        <f>SUM(E8:I8)</f>
        <v/>
      </c>
      <c r="K8" s="9">
        <f>IF(J8&lt;=2,"低",IF(J8&lt;=4,"中",IF(J8&lt;=7,"高","极高")))</f>
        <v/>
      </c>
      <c r="L8" s="9" t="inlineStr">
        <is>
          <t>否</t>
        </is>
      </c>
      <c r="M8" s="9">
        <f>IF(AND(L8="是",OR(K8="低",K8="中")),"高",K8)</f>
        <v/>
      </c>
      <c r="N8" s="9">
        <f>IF(D8="低","信息不足；","")&amp;M8</f>
        <v/>
      </c>
      <c r="O8" s="9" t="inlineStr">
        <is>
          <t>A 主体与背书：“某结构化产品说明”未列发行、管理与托管主体
B 资产透明度：“挂钩一篮子资产，采用优先劣后安排”；构成与嵌套关系不清
C 收益风险匹配：“估值方法”“最大损失”未解释，收益风险假设不足
D 销售表达：“由量化模型动态调整”等术语弱化了对实际风险的解释
E 流动性与条款：全文未列期限、赎回和费用条款</t>
        </is>
      </c>
      <c r="P8" s="9" t="inlineStr">
        <is>
          <t>要求销售方用大白话解释资产构成、优先劣后损失顺序、估值方法、调整频率和最大损失；索取主体、合同、费用、赎回与压力情景材料。</t>
        </is>
      </c>
      <c r="Q8" s="9" t="inlineStr">
        <is>
          <t>无</t>
        </is>
      </c>
      <c r="R8" s="11" t="inlineStr">
        <is>
          <t>通过</t>
        </is>
      </c>
      <c r="S8" s="11" t="inlineStr">
        <is>
          <t>通过</t>
        </is>
      </c>
      <c r="T8" s="9" t="inlineStr">
        <is>
          <t>2026-10-28</t>
        </is>
      </c>
      <c r="U8" s="9" t="inlineStr">
        <is>
          <t>v0.4.0-case-calibration</t>
        </is>
      </c>
    </row>
    <row r="9" ht="145" customHeight="1">
      <c r="A9" s="9" t="inlineStr">
        <is>
          <t>case_06</t>
        </is>
      </c>
      <c r="B9" s="9" t="inlineStr">
        <is>
          <t>references/test_cases/case_06.txt</t>
        </is>
      </c>
      <c r="C9" s="9" t="inlineStr">
        <is>
          <t>期限错配、流动性与收益风险冲突</t>
        </is>
      </c>
      <c r="D9" s="9" t="inlineStr">
        <is>
          <t>低</t>
        </is>
      </c>
      <c r="E9" s="10" t="n">
        <v>1</v>
      </c>
      <c r="F9" s="10" t="n">
        <v>1</v>
      </c>
      <c r="G9" s="10" t="n">
        <v>2</v>
      </c>
      <c r="H9" s="10" t="n">
        <v>2</v>
      </c>
      <c r="I9" s="10" t="n">
        <v>2</v>
      </c>
      <c r="J9" s="9">
        <f>SUM(E9:I9)</f>
        <v/>
      </c>
      <c r="K9" s="9">
        <f>IF(J9&lt;=2,"低",IF(J9&lt;=4,"中",IF(J9&lt;=7,"高","极高")))</f>
        <v/>
      </c>
      <c r="L9" s="9" t="inlineStr">
        <is>
          <t>否</t>
        </is>
      </c>
      <c r="M9" s="9">
        <f>IF(AND(L9="是",OR(K9="低",K9="中")),"高",K9)</f>
        <v/>
      </c>
      <c r="N9" s="9">
        <f>IF(D9="低","信息不足；","")&amp;M9</f>
        <v/>
      </c>
      <c r="O9" s="9" t="inlineStr">
        <is>
          <t>A 主体与背书：“未提供退出资金来源或担保合同”；主体与支持安排待核验
B 资产透明度：“主要资金投向未上市长期项目”；方向明确但项目和退出安排不清
C 收益风险匹配：“本金不受市场波动影响”与未上市长期项目风险冲突
D 销售表达：“每周随时退出且本金不受市场波动影响”；绝对化退出和本金表述
E 流动性与条款：“封闭期为 3 年”却承诺“每周随时退出”，存在严重期限错配</t>
        </is>
      </c>
      <c r="P9" s="9" t="inlineStr">
        <is>
          <t>索取项目清单、估值与退出安排；核验每周退出的资金来源、封闭期例外和担保合同；要求解释后续融资未实现时的损失与延期机制。</t>
        </is>
      </c>
      <c r="Q9" s="9" t="inlineStr">
        <is>
          <t>无</t>
        </is>
      </c>
      <c r="R9" s="11" t="inlineStr">
        <is>
          <t>通过</t>
        </is>
      </c>
      <c r="S9" s="11" t="inlineStr">
        <is>
          <t>通过</t>
        </is>
      </c>
      <c r="T9" s="9" t="inlineStr">
        <is>
          <t>2026-10-28</t>
        </is>
      </c>
      <c r="U9" s="9" t="inlineStr">
        <is>
          <t>v0.4.0-case-calibration</t>
        </is>
      </c>
    </row>
    <row r="10" ht="145" customHeight="1">
      <c r="A10" s="9" t="inlineStr">
        <is>
          <t>case_07</t>
        </is>
      </c>
      <c r="B10" s="9" t="inlineStr">
        <is>
          <t>references/test_cases/case_07.txt</t>
        </is>
      </c>
      <c r="C10" s="9" t="inlineStr">
        <is>
          <t>不得补写评级；指出票面收益不等于实际持有收益</t>
        </is>
      </c>
      <c r="D10" s="9" t="inlineStr">
        <is>
          <t>低</t>
        </is>
      </c>
      <c r="E10" s="10" t="n">
        <v>1</v>
      </c>
      <c r="F10" s="10" t="n">
        <v>1</v>
      </c>
      <c r="G10" s="10" t="n">
        <v>2</v>
      </c>
      <c r="H10" s="10" t="n">
        <v>2</v>
      </c>
      <c r="I10" s="10" t="n">
        <v>1</v>
      </c>
      <c r="J10" s="9">
        <f>SUM(E10:I10)</f>
        <v/>
      </c>
      <c r="K10" s="9">
        <f>IF(J10&lt;=2,"低",IF(J10&lt;=4,"中",IF(J10&lt;=7,"高","极高")))</f>
        <v/>
      </c>
      <c r="L10" s="9" t="inlineStr">
        <is>
          <t>否</t>
        </is>
      </c>
      <c r="M10" s="9">
        <f>IF(AND(L10="是",OR(K10="低",K10="中")),"高",K10)</f>
        <v/>
      </c>
      <c r="N10" s="9">
        <f>IF(D10="低","信息不足；","")&amp;M10</f>
        <v/>
      </c>
      <c r="O10" s="9" t="inlineStr">
        <is>
          <t>A 主体与背书：“某债券型产品材料”未列发行、管理和托管主体
B 资产透明度：仅列“所投资债券的票面利率 6%”，债券与组合细节不足
C 收益风险匹配：将“票面利率 6%”直接等同“每年稳定获得 6%”，收益逻辑不成立
D 销售表达：“每年稳定获得 6%”属于稳定绝对化收益表达
E 流动性与条款：“提前卖出安排”和产品费率未列，流动性条款不完整</t>
        </is>
      </c>
      <c r="P10" s="9" t="inlineStr">
        <is>
          <t>索取债券清单与信用资料、买入价格、到期收益率、费率、久期和提前卖出规则；要求补充利率风险说明并更正稳定收益宣传。</t>
        </is>
      </c>
      <c r="Q10" s="9" t="inlineStr">
        <is>
          <t>无</t>
        </is>
      </c>
      <c r="R10" s="11" t="inlineStr">
        <is>
          <t>通过</t>
        </is>
      </c>
      <c r="S10" s="11" t="inlineStr">
        <is>
          <t>通过</t>
        </is>
      </c>
      <c r="T10" s="9" t="inlineStr">
        <is>
          <t>2026-10-28</t>
        </is>
      </c>
      <c r="U10" s="9" t="inlineStr">
        <is>
          <t>v0.4.0-case-calibration</t>
        </is>
      </c>
    </row>
    <row r="11" ht="145" customHeight="1">
      <c r="A11" s="9" t="inlineStr">
        <is>
          <t>case_08</t>
        </is>
      </c>
      <c r="B11" s="9" t="inlineStr">
        <is>
          <t>references/test_cases/case_08.txt</t>
        </is>
      </c>
      <c r="C11" s="9" t="inlineStr">
        <is>
          <t>收益风险比较失效；不得自行补实时国债利率</t>
        </is>
      </c>
      <c r="D11" s="9" t="inlineStr">
        <is>
          <t>低</t>
        </is>
      </c>
      <c r="E11" s="10" t="n">
        <v>1</v>
      </c>
      <c r="F11" s="10" t="n">
        <v>2</v>
      </c>
      <c r="G11" s="10" t="n">
        <v>2</v>
      </c>
      <c r="H11" s="10" t="n">
        <v>1</v>
      </c>
      <c r="I11" s="10" t="n">
        <v>1</v>
      </c>
      <c r="J11" s="9">
        <f>SUM(E11:I11)</f>
        <v/>
      </c>
      <c r="K11" s="9">
        <f>IF(J11&lt;=2,"低",IF(J11&lt;=4,"中",IF(J11&lt;=7,"高","极高")))</f>
        <v/>
      </c>
      <c r="L11" s="9" t="inlineStr">
        <is>
          <t>否</t>
        </is>
      </c>
      <c r="M11" s="9">
        <f>IF(AND(L11="是",OR(K11="低",K11="中")),"高",K11)</f>
        <v/>
      </c>
      <c r="N11" s="9">
        <f>IF(D11="低","信息不足；","")&amp;M11</f>
        <v/>
      </c>
      <c r="O11" s="9" t="inlineStr">
        <is>
          <t>A 主体与背书：“没有发行人信用资料、产品期限、担保合同”；主体与支持依据不全
B 资产透明度：“仅附一张收益数字海报”；无资金投向
C 收益风险匹配：“年化 12%，与国债一样安全”；高收益与安全比较逻辑冲突
D 销售表达：“与国债一样安全”属于夸大安全性的比较宣传
E 流动性与条款：“流动性安排”未披露，但未见直接赎回冲突</t>
        </is>
      </c>
      <c r="P11" s="9" t="inlineStr">
        <is>
          <t>索取发行人信用资料、完整合同、期限、投向、费用、流动性与担保合同；由人工选择同期限同口径基准后再比较，不自行补实时利率。</t>
        </is>
      </c>
      <c r="Q11" s="9" t="inlineStr">
        <is>
          <t>无</t>
        </is>
      </c>
      <c r="R11" s="11" t="inlineStr">
        <is>
          <t>通过</t>
        </is>
      </c>
      <c r="S11" s="11" t="inlineStr">
        <is>
          <t>通过</t>
        </is>
      </c>
      <c r="T11" s="9" t="inlineStr">
        <is>
          <t>2026-10-28</t>
        </is>
      </c>
      <c r="U11" s="9" t="inlineStr">
        <is>
          <t>v0.4.0-case-calibration</t>
        </is>
      </c>
    </row>
    <row r="12" ht="145" customHeight="1">
      <c r="A12" s="9" t="inlineStr">
        <is>
          <t>case_09</t>
        </is>
      </c>
      <c r="B12" s="9" t="inlineStr">
        <is>
          <t>references/test_cases/case_09.txt</t>
        </is>
      </c>
      <c r="C12" s="9" t="inlineStr">
        <is>
          <t>主体一致性和背书证明待核验；不得直接判定假冒</t>
        </is>
      </c>
      <c r="D12" s="9" t="inlineStr">
        <is>
          <t>低</t>
        </is>
      </c>
      <c r="E12" s="10" t="n">
        <v>1</v>
      </c>
      <c r="F12" s="10" t="n">
        <v>2</v>
      </c>
      <c r="G12" s="10" t="n">
        <v>1</v>
      </c>
      <c r="H12" s="10" t="n">
        <v>1</v>
      </c>
      <c r="I12" s="10" t="n">
        <v>1</v>
      </c>
      <c r="J12" s="9">
        <f>SUM(E12:I12)</f>
        <v/>
      </c>
      <c r="K12" s="9">
        <f>IF(J12&lt;=2,"低",IF(J12&lt;=4,"中",IF(J12&lt;=7,"高","极高")))</f>
        <v/>
      </c>
      <c r="L12" s="9" t="inlineStr">
        <is>
          <t>否</t>
        </is>
      </c>
      <c r="M12" s="9">
        <f>IF(AND(L12="是",OR(K12="低",K12="中")),"高",K12)</f>
        <v/>
      </c>
      <c r="N12" s="9">
        <f>IF(D12="低","信息不足；","")&amp;M12</f>
        <v/>
      </c>
      <c r="O12" s="9" t="inlineStr">
        <is>
          <t>A 主体与背书：“发行人为甲公司”“收款主体为乙公司”；主体不一致且授权待核验
B 资产透明度：全文未披露资金投向，无法穿透资产
C 收益风险匹配：全文未披露收益依据与费用，收益风险无法评估
D 销售表达：“国资战略协同”反复出现，但证明缺失，存在夸大背书信号
E 流动性与条款：全文未列期限、赎回和违约条款</t>
        </is>
      </c>
      <c r="P12" s="9" t="inlineStr">
        <is>
          <t>暂停向乙公司付款；索取甲乙公司股权、受托或代收关系说明及授权文件；核验“国资战略协同”的具体含义；补充合同、投向、费用和赎回材料。</t>
        </is>
      </c>
      <c r="Q12" s="9" t="inlineStr">
        <is>
          <t>无</t>
        </is>
      </c>
      <c r="R12" s="11" t="inlineStr">
        <is>
          <t>通过</t>
        </is>
      </c>
      <c r="S12" s="11" t="inlineStr">
        <is>
          <t>通过</t>
        </is>
      </c>
      <c r="T12" s="9" t="inlineStr">
        <is>
          <t>2026-10-28</t>
        </is>
      </c>
      <c r="U12" s="9" t="inlineStr">
        <is>
          <t>v0.4.0-case-calibration</t>
        </is>
      </c>
    </row>
    <row r="13" ht="145" customHeight="1">
      <c r="A13" s="9" t="inlineStr">
        <is>
          <t>case_10</t>
        </is>
      </c>
      <c r="B13" s="9" t="inlineStr">
        <is>
          <t>references/test_cases/case_10.txt</t>
        </is>
      </c>
      <c r="C13" s="9" t="inlineStr">
        <is>
          <t>可仍有信息缺口，但不得仅因金融术语或预期收益误判为极高风险</t>
        </is>
      </c>
      <c r="D13" s="9" t="inlineStr">
        <is>
          <t>中</t>
        </is>
      </c>
      <c r="E13" s="10" t="n">
        <v>0</v>
      </c>
      <c r="F13" s="10" t="n">
        <v>1</v>
      </c>
      <c r="G13" s="10" t="n">
        <v>0</v>
      </c>
      <c r="H13" s="10" t="n">
        <v>0</v>
      </c>
      <c r="I13" s="10" t="n">
        <v>1</v>
      </c>
      <c r="J13" s="9">
        <f>SUM(E13:I13)</f>
        <v/>
      </c>
      <c r="K13" s="9">
        <f>IF(J13&lt;=2,"低",IF(J13&lt;=4,"中",IF(J13&lt;=7,"高","极高")))</f>
        <v/>
      </c>
      <c r="L13" s="9" t="inlineStr">
        <is>
          <t>否</t>
        </is>
      </c>
      <c r="M13" s="9">
        <f>IF(AND(L13="是",OR(K13="低",K13="中")),"高",K13)</f>
        <v/>
      </c>
      <c r="N13" s="9">
        <f>IF(D13="低","信息不足；","")&amp;M13</f>
        <v/>
      </c>
      <c r="O13" s="9" t="inlineStr">
        <is>
          <t>A 主体与背书：“材料列明发行人、管理人、托管人”；未见可疑背书
B 资产透明度：“资金主要投向高流动性短期债务工具”，但“缺少具体资产比例”
C 收益风险匹配：“披露信用、利率和流动性风险，列出管理费与托管费”；收益风险披露较匹配
D 销售表达：“历史业绩不代表未来，收益存在波动”；无绝对化收益表达
E 流动性与条款：“约定每月开放一次赎回”，但赎回费用和违约责任细节不全</t>
        </is>
      </c>
      <c r="P13" s="9" t="inlineStr">
        <is>
          <t>索取具体资产比例、完整赎回费用和违约责任；通过权威渠道核验主体与托管登记；保留现有风险披露作为对照样本。</t>
        </is>
      </c>
      <c r="Q13" s="9" t="inlineStr">
        <is>
          <t>无</t>
        </is>
      </c>
      <c r="R13" s="11" t="inlineStr">
        <is>
          <t>通过</t>
        </is>
      </c>
      <c r="S13" s="11" t="inlineStr">
        <is>
          <t>通过</t>
        </is>
      </c>
      <c r="T13" s="9" t="inlineStr">
        <is>
          <t>2026-10-28</t>
        </is>
      </c>
      <c r="U13" s="9" t="inlineStr">
        <is>
          <t>v0.4.0-case-calibration</t>
        </is>
      </c>
    </row>
  </sheetData>
  <autoFilter ref="A3:U13"/>
  <mergeCells count="2">
    <mergeCell ref="B1:U1"/>
    <mergeCell ref="B2:U2"/>
  </mergeCells>
  <conditionalFormatting sqref="J4:J13">
    <cfRule type="colorScale" priority="1">
      <colorScale>
        <cfvo type="num" val="0"/>
        <cfvo type="num" val="5"/>
        <cfvo type="num" val="10"/>
        <color rgb="00E2F0D9"/>
        <color rgb="00FFF2CC"/>
        <color rgb="00F4CCCC"/>
      </colorScale>
    </cfRule>
  </conditionalFormatting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5" customWidth="1" min="2" max="2"/>
    <col width="120" customWidth="1" min="3" max="3"/>
    <col width="15" customWidth="1" min="4" max="4"/>
  </cols>
  <sheetData>
    <row r="1" ht="32" customHeight="1">
      <c r="B1" s="1" t="inlineStr">
        <is>
          <t>每份报告均包含输入摘要、风险等级、评分拆解、证据表、收益风险、信息完整度、人工复核和边界声明。</t>
        </is>
      </c>
    </row>
    <row r="2" ht="34" customHeight="1">
      <c r="B2" s="2" t="inlineStr">
        <is>
          <t>十个案例完整输出</t>
        </is>
      </c>
    </row>
    <row r="3" ht="32" customHeight="1">
      <c r="A3" s="6" t="inlineStr">
        <is>
          <t>案例</t>
        </is>
      </c>
      <c r="B3" s="6" t="inlineStr">
        <is>
          <t>合成输入</t>
        </is>
      </c>
      <c r="C3" s="6" t="inlineStr">
        <is>
          <t>完整体检报告</t>
        </is>
      </c>
      <c r="D3" s="6" t="inlineStr">
        <is>
          <t>输出字符数</t>
        </is>
      </c>
    </row>
    <row r="4" ht="360" customHeight="1">
      <c r="A4" s="9" t="inlineStr">
        <is>
          <t>case_01</t>
        </is>
      </c>
      <c r="B4" s="9" t="inlineStr">
        <is>
          <t>某财富管理有限公司推出“鑫安 6 号”，期限 12 个月，宣传年化收益 18%，承诺保本保息、稳赚不赔。销售人员称产品有国资背景、银行兜底，但页面未列发行人登记信息、托管机构、资金投向、费用和赎回条件，并要求投资者将认购款转入某个人账户。</t>
        </is>
      </c>
      <c r="C4" s="9" t="inlineStr">
        <is>
          <t>【输入摘要】已披露：产品名“鑫安 6 号”、期限 12 个月、宣传年化收益 18%；披露不足：财富管理主体、国资背景与银行兜底均只有宣传表述，证明待核验；信息缺失：发行人登记、销售授权、托管、资金投向、费用、赎回、担保合同、审计与信用评级。
【风险等级】信息不足；极高；教学评分 9/10；硬性触发：是。本结论仅针对教学合成文本。
【评分拆解】
A 主体与背书：2 分｜“国资背景、银行兜底”“转入某个人账户”；主体登记与兜底依据缺失
B 资产透明度：2 分｜“未列发行人登记信息、托管机构、资金投向、费用和赎回条件”；无法穿透底层资产
C 收益风险匹配：2 分｜“年化收益 18%”“保本保息、稳赚不赔”；高收益与无风险假设冲突
D 销售表达：2 分｜“保本保息、稳赚不赔”；绝对化收益表达
E 流动性与条款：1 分｜已披露 12 个月期限，但“费用和赎回条件”未列
【风险证据表】
原文｜触发规则｜课程机制｜置信限制
年化收益 18%｜高收益须结合风险与基准分析｜风险收益匹配｜无可靠基准，不能判断收益是否合理
保本保息、稳赚不赔｜绝对化收益；硬性触发｜风险揭示与信息不对称｜只识别文本信号，不作违法认定
国资背景、银行兜底｜主体与担保背书待核验｜信用支持与信息生产｜未核验真伪，不补写担保事实
转入某个人账户｜个人账户收款；硬性触发｜资金流与受托责任｜立即停止转账并人工核验收款授权
【收益风险分析】18% 只是宣传值；缺少同期限、同信用、同流动性、同税负基准，无法比较。保本保息与稳赚不赔排除了正常风险承担，和未披露底层资产、担保合同的状态不相容。
【信息完整度】低
已披露：产品名“鑫安 6 号”、期限 12 个月、宣传年化收益 18%
披露不足：财富管理主体、国资背景与银行兜底均只有宣传表述，证明待核验
未披露：发行人登记、销售授权、托管、资金投向、费用、赎回、担保合同、审计与信用评级
【人工复核清单】停止向个人账户转账；索取正式合同、发行与销售登记、托管和审计材料；通过权威渠道核验主体、收款授权与担保；保存宣传页和付款指令。
【边界声明】本报告仅基于所给教学合成文本进行风险提示，不构成投资、法律或信用结论；未进行工商、司法、监管或其他外部数据库核验，教学评分不是违约概率。</t>
        </is>
      </c>
      <c r="D4" s="9">
        <f>LEN(C4)</f>
        <v/>
      </c>
    </row>
    <row r="5" ht="360" customHeight="1">
      <c r="A5" s="9" t="inlineStr">
        <is>
          <t>case_02</t>
        </is>
      </c>
      <c r="B5" s="9" t="inlineStr">
        <is>
          <t>安盈 3 号投资页面写明产品期限 6 个月、预期年化收益 5%，资金用于优质项目。页面同时展示“专业团队管理”的宣传语，但未列发行人、管理人、托管机构、具体投向、费用和赎回条件，也未提供合同下载入口。</t>
        </is>
      </c>
      <c r="C5" s="9" t="inlineStr">
        <is>
          <t>【输入摘要】已披露：产品名“安盈 3 号”、期限 6 个月、预期年化收益 5%；披露不足：资金仅概括为“优质项目”，团队能力仅有一般宣传；信息缺失：发行人、管理人、托管机构、具体投向、费用、赎回条件与合同下载入口。
【风险等级】信息不足；中；教学评分 4/10；硬性触发：否。本结论仅针对教学合成文本。
【评分拆解】
A 主体与背书：1 分｜“未列发行人、管理人、托管机构”；主体信息不全
B 资产透明度：1 分｜“资金用于优质项目”；只有概括投向，项目和比例不明
C 收益风险匹配：1 分｜“预期年化收益 5%”；收益依据与费用披露不足
D 销售表达：0 分｜仅见“专业团队管理”一般宣传，未见绝对化收益或催促
E 流动性与条款：1 分｜“费用和赎回条件”未列，条款不完整
【风险证据表】
原文｜触发规则｜课程机制｜置信限制
专业团队管理｜一般宣传不能替代主体与授权披露｜信息生产与披露｜不能据此推断团队资质
资金用于优质项目｜投向概括且“优质”缺少标准｜资产穿透与风险定价｜不直接认定诈骗，需补充项目清单
未提供合同下载入口｜关键条款不可得｜信息不对称｜仅说明本轮材料不完整
【收益风险分析】5% 为预期值而非承诺收益；缺少信用、期限、流动性、税负和估值基准，无法比较。不得仅因信息缺失认定诈骗，但也不能把“优质项目”当作低风险证明。
【信息完整度】低
已披露：产品名“安盈 3 号”、期限 6 个月、预期年化收益 5%
披露不足：资金仅概括为“优质项目”，团队能力仅有一般宣传
未披露：发行人、管理人、托管机构、具体投向、费用、赎回条件与合同下载入口
【人工复核清单】索取可下载的完整合同、发行与管理主体资料、托管证明、项目清单、费用表和赎回规则；核验“优质项目”的具体标准。
【边界声明】本报告仅基于所给教学合成文本进行风险提示，不构成投资、法律或信用结论；未进行工商、司法、监管或其他外部数据库核验，教学评分不是违约概率。</t>
        </is>
      </c>
      <c r="D5" s="9">
        <f>LEN(C5)</f>
        <v/>
      </c>
    </row>
    <row r="6" ht="360" customHeight="1">
      <c r="A6" s="9" t="inlineStr">
        <is>
          <t>case_03</t>
        </is>
      </c>
      <c r="B6" s="9" t="inlineStr">
        <is>
          <t>恒信 1 号仅在群聊中销售，对方称“内部额度，今天不转账永久失去机会”，要求认购款由工作人员代持，并特别强调“不要向家人展示合同，免得他们看不懂耽误机会”。材料未说明发行主体和资金投向。</t>
        </is>
      </c>
      <c r="C6" s="9" t="inlineStr">
        <is>
          <t>【输入摘要】已披露：产品名“恒信 1 号”，销售渠道为群聊；披露不足：工作人员代持安排的资金流与法律关系不清；信息缺失：发行主体、资金投向、收益依据、费用、期限、赎回、合同与授权材料。
【风险等级】信息不足；高；教学评分 7/10；硬性触发：是。本结论仅针对教学合成文本。
【评分拆解】
A 主体与背书：1 分｜“材料未说明发行主体”；工作人员代持关系待核验
B 资产透明度：2 分｜“材料未说明发行主体和资金投向”；无资金投向
C 收益风险匹配：1 分｜全文未披露收益依据与费用，收益风险无法评估
D 销售表达：2 分｜“不要向家人展示合同，免得他们看不懂耽误机会”；要求隐瞒并妨碍独立复核
E 流动性与条款：1 分｜“内部额度，今天不转账永久失去机会”；未见期限、赎回和违约条款
【风险证据表】
原文｜触发规则｜课程机制｜置信限制
内部额度，今天不转账永久失去机会｜稀缺性营销与转账催促｜行为偏差与信息不对称｜催促本身不等于违法，但应暂停付款
要求认购款由工作人员代持｜资金控制权和授权不清｜委托代理与资金流｜未提供代持协议，不推断资金去向
不要向家人展示合同，免得他们看不懂耽误机会｜要求隐瞒真实信息；硬性触发｜信息透明与独立决策｜明确阻碍第三方复核
【收益风险分析】没有收益、信用、期限、流动性、税负或估值信息，无法比较。主要风险来自信息被刻意限制、付款催促和代持安排，而非任何假定的收益率。
【信息完整度】低
已披露：产品名“恒信 1 号”，销售渠道为群聊
披露不足：工作人员代持安排的资金流与法律关系不清
未披露：发行主体、资金投向、收益依据、费用、期限、赎回、合同与授权材料
【人工复核清单】不要转账或接受代持；要求直接向家人或独立专业人士出示合同；核验发行主体、收款账户和授权；保存群聊与付款要求原文。
【边界声明】本报告仅基于所给教学合成文本进行风险提示，不构成投资、法律或信用结论；未进行工商、司法、监管或其他外部数据库核验，教学评分不是违约概率。</t>
        </is>
      </c>
      <c r="D6" s="9">
        <f>LEN(C6)</f>
        <v/>
      </c>
    </row>
    <row r="7" ht="360" customHeight="1">
      <c r="A7" s="9" t="inlineStr">
        <is>
          <t>case_04</t>
        </is>
      </c>
      <c r="B7" s="9" t="inlineStr">
        <is>
          <t>现金宝产品广告声称“与活期存款完全相同、随时可无成本取出”。所附合同片段却规定：单个开放日净赎回超过上期份额 10% 时可延期办理，持有不足 30 日赎回需支付 1.5% 费用。</t>
        </is>
      </c>
      <c r="C7" s="9" t="inlineStr">
        <is>
          <t>【输入摘要】已披露：产品名“现金宝”；开放日延期阈值为上期份额 10%；持有不足 30 日赎回费 1.5%；披露不足：广告与合同片段均已提供，但产品全貌不完整；信息缺失：发行与管理主体、资金投向、收益、其他费用、完整赎回和违约责任。
【风险等级】信息不足；极高；教学评分 8/10；硬性触发：否。本结论仅针对教学合成文本。
【评分拆解】
A 主体与背书：1 分｜所给“现金宝产品广告”与合同片段未列发行或管理主体
B 资产透明度：2 分｜所附材料无资金投向，无法判断底层资产
C 收益风险匹配：1 分｜“与活期存款完全相同”；未披露收益依据和完整风险假设
D 销售表达：2 分｜“随时可无成本取出”与延期及 1.5% 赎回费条款冲突
E 流动性与条款：2 分｜“随时可无成本取出”与“可延期办理”“支付 1.5% 费用”直接冲突
【风险证据表】
原文｜触发规则｜课程机制｜置信限制
与活期存款完全相同、随时可无成本取出｜绝对化流动性和成本表述｜流动性风险与信息披露｜需以合同为准，不把广告等同存款保险
单个开放日净赎回超过上期份额 10% 时可延期办理｜存在延期赎回限制｜流动性分层与赎回约束｜未提供完整合同，其他限制未知
持有不足 30 日赎回需支付 1.5% 费用｜赎回并非无成本｜费用与流动性定价｜仅按所给条款计算，不推断其他费用
【收益风险分析】广告的“随时、无成本”与合同延期和收费安排冲突，导致流动性与税负/费用比较口径失效；缺少收益与底层资产信息，无法作数值收益比较。
【信息完整度】低
已披露：产品名“现金宝”；开放日延期阈值为上期份额 10%；持有不足 30 日赎回费 1.5%
披露不足：广告与合同片段均已提供，但产品全貌不完整
未披露：发行与管理主体、资金投向、收益、其他费用、完整赎回和违约责任
【人工复核清单】索取完整合同和全部费用表；核对开放日、延期、巨额赎回与短期赎回费；要求销售方书面纠正“完全相同、无成本”表述。
【边界声明】本报告仅基于所给教学合成文本进行风险提示，不构成投资、法律或信用结论；未进行工商、司法、监管或其他外部数据库核验，教学评分不是违约概率。</t>
        </is>
      </c>
      <c r="D7" s="9">
        <f>LEN(C7)</f>
        <v/>
      </c>
    </row>
    <row r="8" ht="360" customHeight="1">
      <c r="A8" s="9" t="inlineStr">
        <is>
          <t>case_05</t>
        </is>
      </c>
      <c r="B8" s="9" t="inlineStr">
        <is>
          <t>某结构化产品说明仅写“挂钩一篮子资产，采用优先劣后安排，由量化模型动态调整”。材料未解释一篮子资产的构成、优先与劣后的损失承担顺序、估值方法、调整频率和投资者可能承担的最大损失。</t>
        </is>
      </c>
      <c r="C8" s="9" t="inlineStr">
        <is>
          <t>【输入摘要】已披露：产品为结构化产品，采用挂钩资产、优先劣后和量化模型动态调整；披露不足：结构术语有披露，但无法转化为可理解的损失与现金流规则；信息缺失：主体、资产构成、损失承担顺序、估值方法、调整频率、最大损失、收益、费用与赎回。
【风险等级】信息不足；高；教学评分 5/10；硬性触发：否。本结论仅针对教学合成文本。
【评分拆解】
A 主体与背书：1 分｜“某结构化产品说明”未列发行、管理与托管主体
B 资产透明度：1 分｜“挂钩一篮子资产，采用优先劣后安排”；构成与嵌套关系不清
C 收益风险匹配：1 分｜“估值方法”“最大损失”未解释，收益风险假设不足
D 销售表达：1 分｜“由量化模型动态调整”等术语弱化了对实际风险的解释
E 流动性与条款：1 分｜全文未列期限、赎回和费用条款
【风险证据表】
原文｜触发规则｜课程机制｜置信限制
挂钩一篮子资产｜资产构成未披露｜资产穿透与估值｜术语不能证明分散或低风险
采用优先劣后安排｜损失承担顺序未披露｜结构化信用风险｜无法判断投资者所处层级
由量化模型动态调整｜调整频率、估值和最大损失未知｜模型风险与信息生产｜不得把模型表述当作收益保证
【收益风险分析】缺少信用、期限、流动性、税负和估值假设，无法比较。应先用大白话解释“买什么、谁先亏、如何估值、多久调整、最多亏多少”，再讨论收益风险。
【信息完整度】低
已披露：产品为结构化产品，采用挂钩资产、优先劣后和量化模型动态调整
披露不足：结构术语有披露，但无法转化为可理解的损失与现金流规则
未披露：主体、资产构成、损失承担顺序、估值方法、调整频率、最大损失、收益、费用与赎回
【人工复核清单】要求销售方用大白话解释资产构成、优先劣后损失顺序、估值方法、调整频率和最大损失；索取主体、合同、费用、赎回与压力情景材料。
【边界声明】本报告仅基于所给教学合成文本进行风险提示，不构成投资、法律或信用结论；未进行工商、司法、监管或其他外部数据库核验，教学评分不是违约概率。</t>
        </is>
      </c>
      <c r="D8" s="9">
        <f>LEN(C8)</f>
        <v/>
      </c>
    </row>
    <row r="9" ht="360" customHeight="1">
      <c r="A9" s="9" t="inlineStr">
        <is>
          <t>case_06</t>
        </is>
      </c>
      <c r="B9" s="9" t="inlineStr">
        <is>
          <t>某封闭期为 3 年的产品将主要资金投向未上市长期项目，项目退出时间视后续融资安排确定。销售页面同时承诺“每周随时退出且本金不受市场波动影响”，未提供退出资金来源或担保合同。</t>
        </is>
      </c>
      <c r="C9" s="9" t="inlineStr">
        <is>
          <t>【输入摘要】已披露：封闭期 3 年；主要投向未上市长期项目；退出依赖后续融资；披露不足：项目方向已披露，但具体资产、退出资金来源与担保安排不清；信息缺失：主体、项目清单、估值、收益依据、费用、退出资金来源与担保合同。
【风险等级】信息不足；极高；教学评分 8/10；硬性触发：否。本结论仅针对教学合成文本。
【评分拆解】
A 主体与背书：1 分｜“未提供退出资金来源或担保合同”；主体与支持安排待核验
B 资产透明度：1 分｜“主要资金投向未上市长期项目”；方向明确但项目和退出安排不清
C 收益风险匹配：2 分｜“本金不受市场波动影响”与未上市长期项目风险冲突
D 销售表达：2 分｜“每周随时退出且本金不受市场波动影响”；绝对化退出和本金表述
E 流动性与条款：2 分｜“封闭期为 3 年”却承诺“每周随时退出”，存在严重期限错配
【风险证据表】
原文｜触发规则｜课程机制｜置信限制
封闭期为 3 年｜产品资金锁定期较长｜期限结构｜需与资产退出期限联合判断
项目退出时间视后续融资安排确定｜退出来源不确定｜流动性与再融资风险｜后续融资并非已落实事实
每周随时退出且本金不受市场波动影响｜销售承诺与资产条款冲突｜期限错配与风险揭示｜未见担保合同，不能认定存在有效担保
【收益风险分析】未上市长期项目的退出时间不确定，而销售端承诺每周退出，形成明显期限错配。缺少同信用、同流动性基准与估值信息，无法比较；本金不受波动影响的说法没有担保合同支持。
【信息完整度】低
已披露：封闭期 3 年；主要投向未上市长期项目；退出依赖后续融资
披露不足：项目方向已披露，但具体资产、退出资金来源与担保安排不清
未披露：主体、项目清单、估值、收益依据、费用、退出资金来源与担保合同
【人工复核清单】索取项目清单、估值与退出安排；核验每周退出的资金来源、封闭期例外和担保合同；要求解释后续融资未实现时的损失与延期机制。
【边界声明】本报告仅基于所给教学合成文本进行风险提示，不构成投资、法律或信用结论；未进行工商、司法、监管或其他外部数据库核验，教学评分不是违约概率。</t>
        </is>
      </c>
      <c r="D9" s="9">
        <f>LEN(C9)</f>
        <v/>
      </c>
    </row>
    <row r="10" ht="360" customHeight="1">
      <c r="A10" s="9" t="inlineStr">
        <is>
          <t>case_07</t>
        </is>
      </c>
      <c r="B10" s="9" t="inlineStr">
        <is>
          <t>某债券型产品材料列出所投资债券的票面利率 6%，并据此宣传“每年稳定获得 6%”。材料未列债券信用等级、买入价格、到期收益率、产品费率、久期、提前卖出安排和利率风险说明。</t>
        </is>
      </c>
      <c r="C10" s="9" t="inlineStr">
        <is>
          <t>【输入摘要】已披露：债券型产品；所投资债券票面利率 6%；披露不足：仅披露债券类型和票面利率，实际持有收益所需参数不足；信息缺失：主体、信用等级、买入价格、到期收益率、费率、久期、提前卖出与利率风险说明。
【风险等级】信息不足；高；教学评分 7/10；硬性触发：否。本结论仅针对教学合成文本。
【评分拆解】
A 主体与背书：1 分｜“某债券型产品材料”未列发行、管理和托管主体
B 资产透明度：1 分｜仅列“所投资债券的票面利率 6%”，债券与组合细节不足
C 收益风险匹配：2 分｜将“票面利率 6%”直接等同“每年稳定获得 6%”，收益逻辑不成立
D 销售表达：2 分｜“每年稳定获得 6%”属于稳定绝对化收益表达
E 流动性与条款：1 分｜“提前卖出安排”和产品费率未列，流动性条款不完整
【风险证据表】
原文｜触发规则｜课程机制｜置信限制
票面利率 6%｜票面利率不等于实际持有收益｜债券定价与到期收益率｜信用等级缺失，待人工核验，不得补写
每年稳定获得 6%｜把票面利率宣传为稳定产品收益｜利率风险与费用侵蚀｜未考虑买入价格、费率、久期和出售价格
材料未列债券信用等级、买入价格、到期收益率、产品费率、久期、提前卖出安排和利率风险说明｜关键收益风险参数缺失｜信用与利率风险定价｜信息缺口不等于已证实高风险
【收益风险分析】票面利率不等于实际持有收益。实际结果还取决于买入价格、到期收益率、信用风险、产品费率、久期和提前卖出价格；这些参数均缺失，因此无法比较，也不补写任何信用评级。
【信息完整度】低
已披露：债券型产品；所投资债券票面利率 6%
披露不足：仅披露债券类型和票面利率，实际持有收益所需参数不足
未披露：主体、信用等级、买入价格、到期收益率、费率、久期、提前卖出与利率风险说明
【人工复核清单】索取债券清单与信用资料、买入价格、到期收益率、费率、久期和提前卖出规则；要求补充利率风险说明并更正稳定收益宣传。
【边界声明】本报告仅基于所给教学合成文本进行风险提示，不构成投资、法律或信用结论；未进行工商、司法、监管或其他外部数据库核验，教学评分不是违约概率。</t>
        </is>
      </c>
      <c r="D10" s="9">
        <f>LEN(C10)</f>
        <v/>
      </c>
    </row>
    <row r="11" ht="360" customHeight="1">
      <c r="A11" s="9" t="inlineStr">
        <is>
          <t>case_08</t>
        </is>
      </c>
      <c r="B11" s="9" t="inlineStr">
        <is>
          <t>某产品宣传“年化 12%，与国债一样安全”，仅附一张收益数字海报，没有发行人信用资料、产品期限、担保合同、流动性安排或同期限国债比较口径。</t>
        </is>
      </c>
      <c r="C11" s="9" t="inlineStr">
        <is>
          <t>【输入摘要】已披露：宣传年化 12%，并声称“与国债一样安全”；披露不足：只有收益数字海报，安全比较缺少同期限与信用口径；信息缺失：发行人信用、资金投向、期限、担保合同、流动性、费用与同期限国债比较口径。
【风险等级】信息不足；高；教学评分 7/10；硬性触发：否。本结论仅针对教学合成文本。
【评分拆解】
A 主体与背书：1 分｜“没有发行人信用资料、产品期限、担保合同”；主体与支持依据不全
B 资产透明度：2 分｜“仅附一张收益数字海报”；无资金投向
C 收益风险匹配：2 分｜“年化 12%，与国债一样安全”；高收益与安全比较逻辑冲突
D 销售表达：1 分｜“与国债一样安全”属于夸大安全性的比较宣传
E 流动性与条款：1 分｜“流动性安排”未披露，但未见直接赎回冲突
【风险证据表】
原文｜触发规则｜课程机制｜置信限制
年化 12%，与国债一样安全｜收益与安全比较口径失效｜信用风险与风险溢价｜未使用实时国债利率，不补写外部数据
仅附一张收益数字海报｜缺少合同和资产证据｜信息生产与披露｜海报不能证明收益或担保
没有发行人信用资料、产品期限、担保合同、流动性安排或同期限国债比较口径｜同期限同信用比较不可行｜期限与信用定价｜无法比较，不作数值结论
【收益风险分析】缺少同期限、同信用、同流动性、同税负口径，无法比较；本轮未使用实时国债利率。12% 与“一样安全”的组合需要发行人信用和担保合同支持，而材料均未提供。
【信息完整度】低
已披露：宣传年化 12%，并声称“与国债一样安全”
披露不足：只有收益数字海报，安全比较缺少同期限与信用口径
未披露：发行人信用、资金投向、期限、担保合同、流动性、费用与同期限国债比较口径
【人工复核清单】索取发行人信用资料、完整合同、期限、投向、费用、流动性与担保合同；由人工选择同期限同口径基准后再比较，不自行补实时利率。
【边界声明】本报告仅基于所给教学合成文本进行风险提示，不构成投资、法律或信用结论；未进行工商、司法、监管或其他外部数据库核验，教学评分不是违约概率。</t>
        </is>
      </c>
      <c r="D11" s="9">
        <f>LEN(C11)</f>
        <v/>
      </c>
    </row>
    <row r="12" ht="360" customHeight="1">
      <c r="A12" s="9" t="inlineStr">
        <is>
          <t>case_09</t>
        </is>
      </c>
      <c r="B12" s="9" t="inlineStr">
        <is>
          <t>某产品宣传页反复使用“国资战略协同”字样，但合同中的发行人为甲公司，付款通知中的收款主体为乙公司。材料没有说明甲乙公司的股权、受托或代收关系，也没有提供授权文件。</t>
        </is>
      </c>
      <c r="C12" s="9" t="inlineStr">
        <is>
          <t>【输入摘要】已披露：宣传使用“国资战略协同”；合同发行人为甲公司；付款收款主体为乙公司；披露不足：甲乙公司关系、国资协同含义与代收授权均未说明；信息缺失：股权/受托/代收关系、授权文件、资金投向、收益、费用、期限和赎回。
【风险等级】信息不足；高；教学评分 6/10；硬性触发：否。本结论仅针对教学合成文本。
【评分拆解】
A 主体与背书：1 分｜“发行人为甲公司”“收款主体为乙公司”；主体不一致且授权待核验
B 资产透明度：2 分｜全文未披露资金投向，无法穿透资产
C 收益风险匹配：1 分｜全文未披露收益依据与费用，收益风险无法评估
D 销售表达：1 分｜“国资战略协同”反复出现，但证明缺失，存在夸大背书信号
E 流动性与条款：1 分｜全文未列期限、赎回和违约条款
【风险证据表】
原文｜触发规则｜课程机制｜置信限制
国资战略协同｜背书含义和证明待核验｜信息不对称与信用支持｜不将宣传等同于国有担保
合同中的发行人为甲公司，付款通知中的收款主体为乙公司｜合同与付款主体不一致｜委托代理与资金流｜不得直接判定假冒，需核验代收关系
没有提供授权文件｜受托或代收授权缺失｜授权与利益冲突｜未核验前不补写股权关系
【收益风险分析】收益、信用、期限、流动性、税负和估值假设均不足，无法比较。核心问题是发行、收款与宣传背书是否一致；不得直接判定假冒，应先核验股权、受托或代收关系。
【信息完整度】低
已披露：宣传使用“国资战略协同”；合同发行人为甲公司；付款收款主体为乙公司
披露不足：甲乙公司关系、国资协同含义与代收授权均未说明
未披露：股权/受托/代收关系、授权文件、资金投向、收益、费用、期限和赎回
【人工复核清单】暂停向乙公司付款；索取甲乙公司股权、受托或代收关系说明及授权文件；核验“国资战略协同”的具体含义；补充合同、投向、费用和赎回材料。
【边界声明】本报告仅基于所给教学合成文本进行风险提示，不构成投资、法律或信用结论；未进行工商、司法、监管或其他外部数据库核验，教学评分不是违约概率。</t>
        </is>
      </c>
      <c r="D12" s="9">
        <f>LEN(C12)</f>
        <v/>
      </c>
    </row>
    <row r="13" ht="360" customHeight="1">
      <c r="A13" s="9" t="inlineStr">
        <is>
          <t>case_10</t>
        </is>
      </c>
      <c r="B13" s="9" t="inlineStr">
        <is>
          <t>安诚 1 号为教学合成的对照产品。材料列明发行人、管理人、托管人和 1 年期限，说明资金主要投向高流动性短期债务工具，披露信用、利率和流动性风险，列出管理费与托管费，约定每月开放一次赎回，并明确“历史业绩不代表未来，收益存在波动”。材料未承诺保本，但缺少具体资产比例。</t>
        </is>
      </c>
      <c r="C13" s="9" t="inlineStr">
        <is>
          <t>【输入摘要】已披露：发行人、管理人、托管人、1 年期限、短期债务工具投向、信用/利率/流动性风险、管理费与托管费、每月开放赎回；披露不足：具体资产比例、赎回费用与违约责任未明确；信息缺失：具体资产比例、部分赎回费用与违约责任细节。
【风险等级】低；教学评分 2/10；硬性触发：否。本结论仅针对教学合成文本。
【评分拆解】
A 主体与背书：0 分｜“材料列明发行人、管理人、托管人”；未见可疑背书
B 资产透明度：1 分｜“资金主要投向高流动性短期债务工具”，但“缺少具体资产比例”
C 收益风险匹配：0 分｜“披露信用、利率和流动性风险，列出管理费与托管费”；收益风险披露较匹配
D 销售表达：0 分｜“历史业绩不代表未来，收益存在波动”；无绝对化收益表达
E 流动性与条款：1 分｜“约定每月开放一次赎回”，但赎回费用和违约责任细节不全
【风险证据表】
原文｜触发规则｜课程机制｜置信限制
材料列明发行人、管理人、托管人｜主体与托管披露较清楚｜信息生产与受托责任｜登记真实性仍需外部人工核验
披露信用、利率和流动性风险｜主要风险已揭示｜风险定价｜不代表没有风险
历史业绩不代表未来，收益存在波动｜非绝对化收益表达｜风险揭示｜不得仅因金融术语或预期收益误判
缺少具体资产比例｜资产透明度仍有缺口｜资产穿透｜信息缺口单独列示，不等同违法
【收益风险分析】已披露信用、利率和流动性风险，未提供收益数值或可靠外部基准，无法比较。剩余缺口主要是资产比例和部分条款细节；不得仅因金融术语或预期收益将其判为极高风险。
【信息完整度】中
已披露：发行人、管理人、托管人、1 年期限、短期债务工具投向、信用/利率/流动性风险、管理费与托管费、每月开放赎回
披露不足：具体资产比例、赎回费用与违约责任未明确
未披露：具体资产比例、部分赎回费用与违约责任细节
【人工复核清单】索取具体资产比例、完整赎回费用和违约责任；通过权威渠道核验主体与托管登记；保留现有风险披露作为对照样本。
【边界声明】本报告仅基于所给教学合成文本进行风险提示，不构成投资、法律或信用结论；未进行工商、司法、监管或其他外部数据库核验，教学评分不是违约概率。</t>
        </is>
      </c>
      <c r="D13" s="9">
        <f>LEN(C13)</f>
        <v/>
      </c>
    </row>
  </sheetData>
  <autoFilter ref="A3:D13"/>
  <mergeCells count="2">
    <mergeCell ref="B1:D1"/>
    <mergeCell ref="B2:D2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36" customWidth="1" min="3" max="3"/>
    <col width="48" customWidth="1" min="4" max="4"/>
    <col width="20" customWidth="1" min="5" max="5"/>
    <col width="14" customWidth="1" min="6" max="6"/>
    <col width="38" customWidth="1" min="7" max="7"/>
  </cols>
  <sheetData>
    <row r="1" ht="32" customHeight="1">
      <c r="B1" s="1" t="inlineStr">
        <is>
          <t>按“输入与答案分离—单案生成—输出后复核—结果固化”执行。</t>
        </is>
      </c>
    </row>
    <row r="2" ht="34" customHeight="1">
      <c r="B2" s="2" t="inlineStr">
        <is>
          <t>案例校准过程记录</t>
        </is>
      </c>
    </row>
    <row r="3" ht="32" customHeight="1">
      <c r="A3" s="6" t="inlineStr">
        <is>
          <t>步骤</t>
        </is>
      </c>
      <c r="B3" s="6" t="inlineStr">
        <is>
          <t>操作</t>
        </is>
      </c>
      <c r="C3" s="6" t="inlineStr">
        <is>
          <t>输入</t>
        </is>
      </c>
      <c r="D3" s="6" t="inlineStr">
        <is>
          <t>输出/证据</t>
        </is>
      </c>
      <c r="E3" s="6" t="inlineStr">
        <is>
          <t>结果</t>
        </is>
      </c>
      <c r="F3" s="6" t="inlineStr">
        <is>
          <t>日期</t>
        </is>
      </c>
      <c r="G3" s="6" t="inlineStr">
        <is>
          <t>限制</t>
        </is>
      </c>
    </row>
    <row r="4" ht="58" customHeight="1">
      <c r="A4" s="9" t="n">
        <v>1</v>
      </c>
      <c r="B4" s="9" t="inlineStr">
        <is>
          <t>提取附录 C 并核对案例</t>
        </is>
      </c>
      <c r="C4" s="9" t="inlineStr">
        <is>
          <t>提交文档 3 附录 C</t>
        </is>
      </c>
      <c r="D4" s="9" t="inlineStr">
        <is>
          <t>10 个合成输入与 1 份预期触发点</t>
        </is>
      </c>
      <c r="E4" s="9" t="inlineStr">
        <is>
          <t>完成</t>
        </is>
      </c>
      <c r="F4" s="9" t="inlineStr">
        <is>
          <t>2026-10-28</t>
        </is>
      </c>
      <c r="G4" s="9" t="inlineStr">
        <is>
          <t>全部为教学合成文本</t>
        </is>
      </c>
    </row>
    <row r="5" ht="58" customHeight="1">
      <c r="A5" s="9" t="n">
        <v>2</v>
      </c>
      <c r="B5" s="9" t="inlineStr">
        <is>
          <t>加入 Skill 校准集</t>
        </is>
      </c>
      <c r="C5" s="9" t="inlineStr">
        <is>
          <t>case_01—case_10</t>
        </is>
      </c>
      <c r="D5" s="9" t="inlineStr">
        <is>
          <t>references/test_cases/ 与 expected_triggers.md</t>
        </is>
      </c>
      <c r="E5" s="9" t="inlineStr">
        <is>
          <t>完成</t>
        </is>
      </c>
      <c r="F5" s="9" t="inlineStr">
        <is>
          <t>2026-10-28</t>
        </is>
      </c>
      <c r="G5" s="9" t="inlineStr">
        <is>
          <t>输入与人工答案分开存放</t>
        </is>
      </c>
    </row>
    <row r="6" ht="58" customHeight="1">
      <c r="A6" s="9" t="n">
        <v>3</v>
      </c>
      <c r="B6" s="9" t="inlineStr">
        <is>
          <t>更新校准工作流</t>
        </is>
      </c>
      <c r="C6" s="9" t="inlineStr">
        <is>
          <t>原 SKILL.md</t>
        </is>
      </c>
      <c r="D6" s="9" t="inlineStr">
        <is>
          <t>新增第六部分；原六步分析顺序不变</t>
        </is>
      </c>
      <c r="E6" s="9" t="inlineStr">
        <is>
          <t>完成</t>
        </is>
      </c>
      <c r="F6" s="9" t="inlineStr">
        <is>
          <t>2026-10-28</t>
        </is>
      </c>
      <c r="G6" s="9" t="inlineStr">
        <is>
          <t>案例校准不修改模型权重</t>
        </is>
      </c>
    </row>
    <row r="7" ht="58" customHeight="1">
      <c r="A7" s="9" t="n">
        <v>4</v>
      </c>
      <c r="B7" s="9" t="inlineStr">
        <is>
          <t>逐案生成体检报告</t>
        </is>
      </c>
      <c r="C7" s="9" t="inlineStr">
        <is>
          <t>每次仅一个案例文本</t>
        </is>
      </c>
      <c r="D7" s="9" t="inlineStr">
        <is>
          <t>10 份八模块完整报告</t>
        </is>
      </c>
      <c r="E7" s="9" t="inlineStr">
        <is>
          <t>完成</t>
        </is>
      </c>
      <c r="F7" s="9" t="inlineStr">
        <is>
          <t>2026-10-28</t>
        </is>
      </c>
      <c r="G7" s="9" t="inlineStr">
        <is>
          <t>同会话生成，不是独立盲测</t>
        </is>
      </c>
    </row>
    <row r="8" ht="58" customHeight="1">
      <c r="A8" s="9" t="n">
        <v>5</v>
      </c>
      <c r="B8" s="9" t="inlineStr">
        <is>
          <t>静态结构验收</t>
        </is>
      </c>
      <c r="C8" s="9" t="inlineStr">
        <is>
          <t>10 份完整报告</t>
        </is>
      </c>
      <c r="D8" s="9" t="inlineStr">
        <is>
          <t>八模块、五维评分、边界声明检查</t>
        </is>
      </c>
      <c r="E8" s="9" t="inlineStr">
        <is>
          <t>10/10 通过</t>
        </is>
      </c>
      <c r="F8" s="9" t="inlineStr">
        <is>
          <t>2026-10-28</t>
        </is>
      </c>
      <c r="G8" s="9" t="inlineStr">
        <is>
          <t>仅证明结构完整</t>
        </is>
      </c>
    </row>
    <row r="9" ht="58" customHeight="1">
      <c r="A9" s="9" t="n">
        <v>6</v>
      </c>
      <c r="B9" s="9" t="inlineStr">
        <is>
          <t>输出后规则复核</t>
        </is>
      </c>
      <c r="C9" s="9" t="inlineStr">
        <is>
          <t>预期触发点与完整报告</t>
        </is>
      </c>
      <c r="D9" s="9" t="inlineStr">
        <is>
          <t>关键证据、硬性触发、对照案例检查</t>
        </is>
      </c>
      <c r="E9" s="9" t="inlineStr">
        <is>
          <t>10/10 通过（自评）</t>
        </is>
      </c>
      <c r="F9" s="9" t="inlineStr">
        <is>
          <t>2026-10-28</t>
        </is>
      </c>
      <c r="G9" s="9" t="inlineStr">
        <is>
          <t>不等同统计准确率</t>
        </is>
      </c>
    </row>
    <row r="10" ht="58" customHeight="1">
      <c r="A10" s="9" t="n">
        <v>7</v>
      </c>
      <c r="B10" s="9" t="inlineStr">
        <is>
          <t>固化过程和结果</t>
        </is>
      </c>
      <c r="C10" s="9" t="inlineStr">
        <is>
          <t>评分、证据、报告和过程</t>
        </is>
      </c>
      <c r="D10" s="9" t="inlineStr">
        <is>
          <t>financial-mirror-calibration-results.xlsx</t>
        </is>
      </c>
      <c r="E10" s="9" t="inlineStr">
        <is>
          <t>完成</t>
        </is>
      </c>
      <c r="F10" s="9" t="inlineStr">
        <is>
          <t>2026-10-28</t>
        </is>
      </c>
      <c r="G10" s="9" t="inlineStr">
        <is>
          <t>后续需新会话重复测试</t>
        </is>
      </c>
    </row>
  </sheetData>
  <mergeCells count="2">
    <mergeCell ref="B2:G2"/>
    <mergeCell ref="B1:G1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48" customWidth="1" min="4" max="4"/>
    <col width="45" customWidth="1" min="5" max="5"/>
  </cols>
  <sheetData>
    <row r="1" ht="32" customHeight="1">
      <c r="B1" s="1" t="inlineStr">
        <is>
          <t>以下锚点来自提交文档 3 的评分表；评分不是违约概率。</t>
        </is>
      </c>
    </row>
    <row r="2" ht="34" customHeight="1">
      <c r="B2" s="2" t="inlineStr">
        <is>
          <t>教学评分口径与硬性规则</t>
        </is>
      </c>
    </row>
    <row r="3" ht="32" customHeight="1">
      <c r="A3" s="6" t="inlineStr">
        <is>
          <t>维度</t>
        </is>
      </c>
      <c r="B3" s="6" t="inlineStr">
        <is>
          <t>0 分</t>
        </is>
      </c>
      <c r="C3" s="6" t="inlineStr">
        <is>
          <t>1 分</t>
        </is>
      </c>
      <c r="D3" s="6" t="inlineStr">
        <is>
          <t>2 分</t>
        </is>
      </c>
      <c r="E3" s="6" t="inlineStr">
        <is>
          <t>本轮应用说明</t>
        </is>
      </c>
    </row>
    <row r="4" ht="70" customHeight="1">
      <c r="A4" s="9" t="inlineStr">
        <is>
          <t>A 主体与背书</t>
        </is>
      </c>
      <c r="B4" s="9" t="inlineStr">
        <is>
          <t>主体和授权清楚且无可疑背书</t>
        </is>
      </c>
      <c r="C4" s="9" t="inlineStr">
        <is>
          <t>主体不全或背书待核验</t>
        </is>
      </c>
      <c r="D4" s="9" t="inlineStr">
        <is>
          <t>个人付款、明显假冒或绝对化兜底</t>
        </is>
      </c>
      <c r="E4" s="9" t="inlineStr">
        <is>
          <t>主体不一致但未证伪时取 1，不直接判假冒</t>
        </is>
      </c>
    </row>
    <row r="5" ht="70" customHeight="1">
      <c r="A5" s="9" t="inlineStr">
        <is>
          <t>B 资产透明度</t>
        </is>
      </c>
      <c r="B5" s="9" t="inlineStr">
        <is>
          <t>投向、比例和限制较清楚</t>
        </is>
      </c>
      <c r="C5" s="9" t="inlineStr">
        <is>
          <t>概括投向或嵌套不清</t>
        </is>
      </c>
      <c r="D5" s="9" t="inlineStr">
        <is>
          <t>无投向或用途明显矛盾</t>
        </is>
      </c>
      <c r="E5" s="9" t="inlineStr">
        <is>
          <t>专业术语不能替代资产披露</t>
        </is>
      </c>
    </row>
    <row r="6" ht="70" customHeight="1">
      <c r="A6" s="9" t="inlineStr">
        <is>
          <t>C 收益风险匹配</t>
        </is>
      </c>
      <c r="B6" s="9" t="inlineStr">
        <is>
          <t>收益与风险、期限和假设匹配</t>
        </is>
      </c>
      <c r="C6" s="9" t="inlineStr">
        <is>
          <t>收益依据或费用不足</t>
        </is>
      </c>
      <c r="D6" s="9" t="inlineStr">
        <is>
          <t>高收益无风险或收益逻辑矛盾</t>
        </is>
      </c>
      <c r="E6" s="9" t="inlineStr">
        <is>
          <t>无可靠基准时写无法比较</t>
        </is>
      </c>
    </row>
    <row r="7" ht="70" customHeight="1">
      <c r="A7" s="9" t="inlineStr">
        <is>
          <t>D 销售表达</t>
        </is>
      </c>
      <c r="B7" s="9" t="inlineStr">
        <is>
          <t>无绝对化收益或误导催促</t>
        </is>
      </c>
      <c r="C7" s="9" t="inlineStr">
        <is>
          <t>夸大、稀缺营销或弱化风险</t>
        </is>
      </c>
      <c r="D7" s="9" t="inlineStr">
        <is>
          <t>保本稳赚或隐瞒重大限制</t>
        </is>
      </c>
      <c r="E7" s="9" t="inlineStr">
        <is>
          <t>保存原文，不因术语本身扣分</t>
        </is>
      </c>
    </row>
    <row r="8" ht="70" customHeight="1">
      <c r="A8" s="9" t="inlineStr">
        <is>
          <t>E 流动性与条款</t>
        </is>
      </c>
      <c r="B8" s="9" t="inlineStr">
        <is>
          <t>期限、赎回和违约责任较清楚</t>
        </is>
      </c>
      <c r="C8" s="9" t="inlineStr">
        <is>
          <t>赎回或费用不完整</t>
        </is>
      </c>
      <c r="D8" s="9" t="inlineStr">
        <is>
          <t>赎回表述冲突或严重期限错配</t>
        </is>
      </c>
      <c r="E8" s="9" t="inlineStr">
        <is>
          <t>广告与合同冲突需同时引用</t>
        </is>
      </c>
    </row>
    <row r="11" ht="32" customHeight="1">
      <c r="A11" s="6" t="inlineStr">
        <is>
          <t>总分</t>
        </is>
      </c>
      <c r="B11" s="6" t="inlineStr">
        <is>
          <t>基础等级</t>
        </is>
      </c>
      <c r="C11" s="6" t="inlineStr">
        <is>
          <t>硬性规则</t>
        </is>
      </c>
      <c r="D11" s="6" t="inlineStr">
        <is>
          <t>信息完整度</t>
        </is>
      </c>
      <c r="E11" s="6" t="inlineStr">
        <is>
          <t>解释边界</t>
        </is>
      </c>
    </row>
    <row r="12" ht="55" customHeight="1">
      <c r="A12" s="9" t="inlineStr">
        <is>
          <t>0—2</t>
        </is>
      </c>
      <c r="B12" s="9" t="inlineStr">
        <is>
          <t>低</t>
        </is>
      </c>
      <c r="C12" s="9" t="inlineStr">
        <is>
          <t>个人账户收款、明确保本保息且无风险、要求隐瞒真实信息时最终等级不低于高</t>
        </is>
      </c>
      <c r="D12" s="9" t="inlineStr">
        <is>
          <t>高/中/低单独报告</t>
        </is>
      </c>
      <c r="E12" s="9" t="inlineStr">
        <is>
          <t>不作投资、法律或信用结论</t>
        </is>
      </c>
    </row>
    <row r="13" ht="55" customHeight="1">
      <c r="A13" s="9" t="inlineStr">
        <is>
          <t>3—4</t>
        </is>
      </c>
      <c r="B13" s="9" t="inlineStr">
        <is>
          <t>中</t>
        </is>
      </c>
      <c r="C13" s="9" t="inlineStr">
        <is>
          <t>同上</t>
        </is>
      </c>
      <c r="D13" s="9" t="inlineStr">
        <is>
          <t>信息不足不等于违法</t>
        </is>
      </c>
      <c r="E13" s="9" t="inlineStr">
        <is>
          <t>不作真实违约概率预测</t>
        </is>
      </c>
    </row>
    <row r="14" ht="55" customHeight="1">
      <c r="A14" s="9" t="inlineStr">
        <is>
          <t>5—7</t>
        </is>
      </c>
      <c r="B14" s="9" t="inlineStr">
        <is>
          <t>高</t>
        </is>
      </c>
      <c r="C14" s="9" t="inlineStr">
        <is>
          <t>同上</t>
        </is>
      </c>
      <c r="D14" s="9" t="inlineStr">
        <is>
          <t>缺失与已证实风险分开</t>
        </is>
      </c>
      <c r="E14" s="9" t="inlineStr">
        <is>
          <t>外部事实待人工核验</t>
        </is>
      </c>
    </row>
    <row r="15" ht="55" customHeight="1">
      <c r="A15" s="9" t="inlineStr">
        <is>
          <t>8—10</t>
        </is>
      </c>
      <c r="B15" s="9" t="inlineStr">
        <is>
          <t>极高</t>
        </is>
      </c>
      <c r="C15" s="9" t="inlineStr">
        <is>
          <t>同上</t>
        </is>
      </c>
      <c r="D15" s="9" t="inlineStr">
        <is>
          <t>对照案例仍有缺口但不误判</t>
        </is>
      </c>
      <c r="E15" s="9" t="inlineStr">
        <is>
          <t>教学评分仅用于排序</t>
        </is>
      </c>
    </row>
  </sheetData>
  <mergeCells count="2">
    <mergeCell ref="B1:E1"/>
    <mergeCell ref="B2:E2"/>
  </mergeCell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85" customWidth="1" min="3" max="3"/>
    <col width="52" customWidth="1" min="4" max="4"/>
  </cols>
  <sheetData>
    <row r="1" ht="32" customHeight="1">
      <c r="B1" s="1" t="inlineStr">
        <is>
          <t>本工作簿不使用外部实时金融数据，所有案例均为用户文档中的教学合成文本。</t>
        </is>
      </c>
    </row>
    <row r="2" ht="34" customHeight="1">
      <c r="B2" s="2" t="inlineStr">
        <is>
          <t>来源、版本与验收边界</t>
        </is>
      </c>
    </row>
    <row r="3" ht="32" customHeight="1">
      <c r="A3" s="6" t="inlineStr">
        <is>
          <t>项目</t>
        </is>
      </c>
      <c r="B3" s="6" t="inlineStr">
        <is>
          <t>内容</t>
        </is>
      </c>
      <c r="C3" s="6" t="inlineStr">
        <is>
          <t>定位/路径</t>
        </is>
      </c>
      <c r="D3" s="6" t="inlineStr">
        <is>
          <t>说明</t>
        </is>
      </c>
    </row>
    <row r="4" ht="52" customHeight="1">
      <c r="A4" s="9" t="inlineStr">
        <is>
          <t>来源名称</t>
        </is>
      </c>
      <c r="B4" s="9" t="inlineStr">
        <is>
          <t>提交文档3_项目原型与复现说明_金融照妖镜.docx</t>
        </is>
      </c>
      <c r="C4" s="9" t="inlineStr">
        <is>
          <t>C:\Users\songfei\Documents\kimi\tasks\2026-10-28\14-08-58-2c504b75\appendix-source.docx</t>
        </is>
      </c>
      <c r="D4" s="9" t="inlineStr">
        <is>
          <t>附录 C：10 个教学合成测试案例</t>
        </is>
      </c>
    </row>
    <row r="5" ht="52" customHeight="1">
      <c r="A5" s="9" t="inlineStr">
        <is>
          <t>Skill 名称</t>
        </is>
      </c>
      <c r="B5" s="9" t="inlineStr">
        <is>
          <t>financial-mirror</t>
        </is>
      </c>
      <c r="C5" s="9" t="inlineStr">
        <is>
          <t>C:\Users\songfei\Documents\kimi\tasks\2026-10-28\14-08-58-2c504b75\financial-mirror</t>
        </is>
      </c>
      <c r="D5" s="9" t="inlineStr">
        <is>
          <t>原附录 A 六步工作流保持不变</t>
        </is>
      </c>
    </row>
    <row r="6" ht="52" customHeight="1">
      <c r="A6" s="9" t="inlineStr">
        <is>
          <t>Skill 版本</t>
        </is>
      </c>
      <c r="B6" s="9" t="inlineStr">
        <is>
          <t>v0.4.0-case-calibration</t>
        </is>
      </c>
      <c r="C6" s="9" t="inlineStr">
        <is>
          <t>C:\Users\songfei\Documents\kimi\tasks\2026-10-28\14-08-58-2c504b75\financial-mirror\SKILL.md</t>
        </is>
      </c>
      <c r="D6" s="9" t="inlineStr">
        <is>
          <t>新增教学案例校准部分</t>
        </is>
      </c>
    </row>
    <row r="7" ht="52" customHeight="1">
      <c r="A7" s="9" t="inlineStr">
        <is>
          <t>运行日期</t>
        </is>
      </c>
      <c r="B7" s="9" t="inlineStr">
        <is>
          <t>2026-10-28</t>
        </is>
      </c>
      <c r="C7" s="9" t="inlineStr">
        <is>
          <t>本地工作区</t>
        </is>
      </c>
      <c r="D7" s="9" t="inlineStr">
        <is>
          <t>使用当前任务时间锚点</t>
        </is>
      </c>
    </row>
    <row r="8" ht="52" customHeight="1">
      <c r="A8" s="9" t="inlineStr">
        <is>
          <t>训练含义</t>
        </is>
      </c>
      <c r="B8" s="9" t="inlineStr">
        <is>
          <t>案例校准与回归测试</t>
        </is>
      </c>
      <c r="C8" s="9" t="inlineStr">
        <is>
          <t>不修改模型参数或权重</t>
        </is>
      </c>
      <c r="D8" s="9" t="inlineStr">
        <is>
          <t>不得表述为模型微调</t>
        </is>
      </c>
    </row>
    <row r="9" ht="52" customHeight="1">
      <c r="A9" s="9" t="inlineStr">
        <is>
          <t>验收性质</t>
        </is>
      </c>
      <c r="B9" s="9" t="inlineStr">
        <is>
          <t>同会话静态结构检查与输出后规则自评</t>
        </is>
      </c>
      <c r="C9" s="9" t="inlineStr">
        <is>
          <t>10/10 通过</t>
        </is>
      </c>
      <c r="D9" s="9" t="inlineStr">
        <is>
          <t>不是独立盲测或统计准确率</t>
        </is>
      </c>
    </row>
    <row r="10" ht="52" customHeight="1">
      <c r="A10" s="9" t="inlineStr">
        <is>
          <t>外部核验</t>
        </is>
      </c>
      <c r="B10" s="9" t="inlineStr">
        <is>
          <t>未执行</t>
        </is>
      </c>
      <c r="C10" s="9" t="inlineStr">
        <is>
          <t>无工商、司法、监管或实时行情调用</t>
        </is>
      </c>
      <c r="D10" s="9" t="inlineStr">
        <is>
          <t>外部事实均标记待人工核验</t>
        </is>
      </c>
    </row>
    <row r="11" ht="52" customHeight="1">
      <c r="A11" s="9" t="inlineStr">
        <is>
          <t>隐私</t>
        </is>
      </c>
      <c r="B11" s="9" t="inlineStr">
        <is>
          <t>不含真实个人信息</t>
        </is>
      </c>
      <c r="C11" s="9" t="inlineStr">
        <is>
          <t>所有案例均为合成文本</t>
        </is>
      </c>
      <c r="D11" s="9" t="inlineStr">
        <is>
          <t>不得映射真实机构或产品</t>
        </is>
      </c>
    </row>
  </sheetData>
  <mergeCells count="2">
    <mergeCell ref="B1:D1"/>
    <mergeCell ref="B2:D2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2026-10-28T08:01:37Z</dcterms:created>
  <dcterms:modified xmlns:dcterms="http://purl.org/dc/terms/" xmlns:xsi="http://www.w3.org/2001/XMLSchema-instance" xsi:type="dcterms:W3CDTF">2026-10-28T08:01:37Z</dcterms:modified>
</cp:coreProperties>
</file>